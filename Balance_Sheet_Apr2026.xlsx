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Sheet" sheetId="1" state="visible" r:id="rId3"/>
    <sheet name="Income vs Spending" sheetId="2" state="visible" r:id="rId4"/>
    <sheet name="Discrepancies ⚠" sheetId="3" state="visible" r:id="rId5"/>
    <sheet name="CC Reconcili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<sst xmlns="http://schemas.openxmlformats.org/spreadsheetml/2006/main" count="133" uniqueCount="116">
  <si>
    <t xml:space="preserve">PERSONAL BALANCE SHEET  —  As at 18 April 2026</t>
  </si>
  <si>
    <t xml:space="preserve">Source: finance_tracker.db  |  All amounts in LKR  |  ⚠ Figures include known data errors — see Discrepancies sheet</t>
  </si>
  <si>
    <t xml:space="preserve">ASSETS</t>
  </si>
  <si>
    <t xml:space="preserve">Reported (LKR)</t>
  </si>
  <si>
    <t xml:space="preserve">Corrected (LKR)</t>
  </si>
  <si>
    <t xml:space="preserve">LIABILITIES</t>
  </si>
  <si>
    <t xml:space="preserve">LIQUID ASSETS</t>
  </si>
  <si>
    <t xml:space="preserve">CREDIT CARD BALANCES</t>
  </si>
  <si>
    <t xml:space="preserve">  BOC Current Account (tracked)</t>
  </si>
  <si>
    <t xml:space="preserve">  BOC Credit Card</t>
  </si>
  <si>
    <t xml:space="preserve">  Emergency Fund</t>
  </si>
  <si>
    <t xml:space="preserve">  Sampath Credit Card</t>
  </si>
  <si>
    <t xml:space="preserve">  Son's Education Fund</t>
  </si>
  <si>
    <t xml:space="preserve">  NDB Card</t>
  </si>
  <si>
    <t xml:space="preserve">  Retirement Fund</t>
  </si>
  <si>
    <t xml:space="preserve">  NTB AMEX</t>
  </si>
  <si>
    <t xml:space="preserve">  Property Down Payment</t>
  </si>
  <si>
    <t xml:space="preserve">TOTAL ASSETS</t>
  </si>
  <si>
    <t xml:space="preserve">TOTAL LIABILITIES</t>
  </si>
  <si>
    <t xml:space="preserve">NET WORTH  (Assets − Liabilities)</t>
  </si>
  <si>
    <t xml:space="preserve">⚠ Credit card debt not fully settled from tracked income</t>
  </si>
  <si>
    <t xml:space="preserve">CREDIT CARD UTILISATION</t>
  </si>
  <si>
    <t xml:space="preserve">Card</t>
  </si>
  <si>
    <t xml:space="preserve">Balance</t>
  </si>
  <si>
    <t xml:space="preserve">Limit</t>
  </si>
  <si>
    <t xml:space="preserve">TOTAL CREDIT EXPOSURE</t>
  </si>
  <si>
    <t xml:space="preserve">MONTHLY MINIMUM OBLIGATIONS</t>
  </si>
  <si>
    <t xml:space="preserve">Min Payment (LKR)</t>
  </si>
  <si>
    <t xml:space="preserve">Interest Rate</t>
  </si>
  <si>
    <t xml:space="preserve">24%</t>
  </si>
  <si>
    <t xml:space="preserve">26%</t>
  </si>
  <si>
    <t xml:space="preserve">TOTAL MONTHLY MINIMUM</t>
  </si>
  <si>
    <t xml:space="preserve">INCOME vs SPENDING  —  Feb – Apr 2026 (Tracking Period)</t>
  </si>
  <si>
    <t xml:space="preserve">Line Item</t>
  </si>
  <si>
    <t xml:space="preserve">Note</t>
  </si>
  <si>
    <t xml:space="preserve">INCOME</t>
  </si>
  <si>
    <t xml:space="preserve">  Salary / regular deposits (SLIPS IN)</t>
  </si>
  <si>
    <t xml:space="preserve">⚠ Includes 3 duplicates totalling LKR 774,557 (Feb-25 262k, Mar-25 262k, Apr-9 175k + Apr-7 3.9k)</t>
  </si>
  <si>
    <t xml:space="preserve">  Husband transfer / family income</t>
  </si>
  <si>
    <t xml:space="preserve">  CRS putha deposit / exam fee</t>
  </si>
  <si>
    <t xml:space="preserve">⚠ Apr-7 LKR 290k may be the same as Transfer Credit-BOC on same date — possible duplicate</t>
  </si>
  <si>
    <t xml:space="preserve">  BOC → ComBank personal transfers (income side)</t>
  </si>
  <si>
    <t xml:space="preserve">Internal transfer — not real income. See Discrepancies sheet</t>
  </si>
  <si>
    <t xml:space="preserve">  Digital Banking Division top-ups</t>
  </si>
  <si>
    <t xml:space="preserve">TOTAL INCOME (as recorded)</t>
  </si>
  <si>
    <t xml:space="preserve">Corrected = removed known salary duplicates</t>
  </si>
  <si>
    <t xml:space="preserve">TRUE EXTERNAL INCOME (excl. internal transfers)</t>
  </si>
  <si>
    <t xml:space="preserve">Remove BOC transfers (400k) + Digital Banking (200k) from total</t>
  </si>
  <si>
    <t xml:space="preserve">EXPENDITURE</t>
  </si>
  <si>
    <t xml:space="preserve">  Real spending (excl CC payments &amp; transfers)</t>
  </si>
  <si>
    <t xml:space="preserve">Food, medical, subscriptions, shopping, etc.</t>
  </si>
  <si>
    <t xml:space="preserve">  Internal transfers (CEFT, bank-to-bank)</t>
  </si>
  <si>
    <t xml:space="preserve">⚠ Reported includes ~696k double-counted transfers</t>
  </si>
  <si>
    <t xml:space="preserve">  Credit card payments</t>
  </si>
  <si>
    <t xml:space="preserve">⚠ Debt payments table has 8 duplicate pairs = LKR 125k overcount</t>
  </si>
  <si>
    <t xml:space="preserve">TOTAL EXPENSES (as recorded)</t>
  </si>
  <si>
    <t xml:space="preserve">Corrected removes double-counted transfers (696k) + duplicate CC payments (125k)</t>
  </si>
  <si>
    <t xml:space="preserve">NET CASH FLOW (Income − Real Spending)</t>
  </si>
  <si>
    <t xml:space="preserve">Reported shows slight surplus; corrected shows deficit — income may be understated</t>
  </si>
  <si>
    <t xml:space="preserve">BALANCE SHEET DISCREPANCIES — Where the Numbers Don't Add Up</t>
  </si>
  <si>
    <t xml:space="preserve">All discrepancies stem from data entry issues in finance_tracker.db — no actual money is missing. See recommendations .md for SQL fixes.</t>
  </si>
  <si>
    <t xml:space="preserve">#</t>
  </si>
  <si>
    <t xml:space="preserve">Discrepancy</t>
  </si>
  <si>
    <t xml:space="preserve">Reported Amount</t>
  </si>
  <si>
    <t xml:space="preserve">Should Be</t>
  </si>
  <si>
    <t xml:space="preserve">Error Size (LKR)</t>
  </si>
  <si>
    <t xml:space="preserve">Fix Required</t>
  </si>
  <si>
    <t xml:space="preserve">D1</t>
  </si>
  <si>
    <t xml:space="preserve">Income table — 6 duplicate salary deposits</t>
  </si>
  <si>
    <t xml:space="preserve">🔴 Critical — Delete 6 duplicate rows (IDs 13–18). Over-states income by LKR 1.19M</t>
  </si>
  <si>
    <t xml:space="preserve">D2</t>
  </si>
  <si>
    <t xml:space="preserve">Transfer double-counting (Savings A/C + BOC Current Acct)</t>
  </si>
  <si>
    <t xml:space="preserve">🔴 Critical — 14 transfer pairs recorded twice. Add is_transfer flag; remove duplicate expense rows</t>
  </si>
  <si>
    <t xml:space="preserve">D3</t>
  </si>
  <si>
    <t xml:space="preserve">BOC CC balance gap (tracked spend vs recorded balance)</t>
  </si>
  <si>
    <t xml:space="preserve">🟠 High — LKR 309k of BOC CC spend predates Feb 2026 tracking start. Opening balance not captured</t>
  </si>
  <si>
    <t xml:space="preserve">D4</t>
  </si>
  <si>
    <t xml:space="preserve">Debt payments table — 8 duplicate entries</t>
  </si>
  <si>
    <t xml:space="preserve">🟠 High — NDB (3×), Sampath (3×), NTB AMEX (2×) each duplicated. Over-states payments by LKR 125k</t>
  </si>
  <si>
    <t xml:space="preserve">D5</t>
  </si>
  <si>
    <t xml:space="preserve">Generic 'Credit Card' account tag (29 entries, LKR 185,966)</t>
  </si>
  <si>
    <t xml:space="preserve">🟠 High — Mix of BOC CC, Sampath CC, NDB CC. Re-attribute each entry to correct card</t>
  </si>
  <si>
    <t xml:space="preserve">D6</t>
  </si>
  <si>
    <t xml:space="preserve">Generic 'Debit Card' account tag (85 entries, LKR 270,770)</t>
  </si>
  <si>
    <t xml:space="preserve">🟠 High — All are ComBank Debit Card transactions. Rename account tag</t>
  </si>
  <si>
    <t xml:space="preserve">D7</t>
  </si>
  <si>
    <t xml:space="preserve">'Sampath Card' vs 'Sampath Credit Card' split (10 vs 15 entries)</t>
  </si>
  <si>
    <t xml:space="preserve">🟡 Medium — Same card, two tags. Unify to 'Sampath Credit Card'</t>
  </si>
  <si>
    <t xml:space="preserve">D8</t>
  </si>
  <si>
    <t xml:space="preserve">'NTB Credit Card' vs 'NTB AMEX Credit Card' (2 vs 9 entries)</t>
  </si>
  <si>
    <t xml:space="preserve">🟡 Medium — Same card, two tags. Unify to 'NTB AMEX Credit Card'</t>
  </si>
  <si>
    <t xml:space="preserve">D9</t>
  </si>
  <si>
    <t xml:space="preserve">Income table missing 'account' field</t>
  </si>
  <si>
    <t xml:space="preserve">🟡 Medium — Cannot attribute deposits to BOC vs ComBank. Add account column via Alembic migration</t>
  </si>
  <si>
    <t xml:space="preserve">D10</t>
  </si>
  <si>
    <t xml:space="preserve">'Apr-7 Putha exam fee' LKR 290,000 — possible income duplicate</t>
  </si>
  <si>
    <t xml:space="preserve">⚪ Investigate — Same date/amount as 'Transfer Credit - BOC'. Confirm if separate transaction or duplicate</t>
  </si>
  <si>
    <t xml:space="preserve">TOTAL QUANTIFIED ERRORS</t>
  </si>
  <si>
    <t xml:space="preserve">Critical + High priority quantified</t>
  </si>
  <si>
    <t xml:space="preserve">CREDIT CARD RECONCILIATION — Tracked Spend vs Reported Balance</t>
  </si>
  <si>
    <t xml:space="preserve">Tracked Spend</t>
  </si>
  <si>
    <t xml:space="preserve">Payments Made</t>
  </si>
  <si>
    <t xml:space="preserve">Expected Balance</t>
  </si>
  <si>
    <t xml:space="preserve">Reported Balance</t>
  </si>
  <si>
    <t xml:space="preserve">Gap &amp; Explanation</t>
  </si>
  <si>
    <t xml:space="preserve">BOC Credit Card</t>
  </si>
  <si>
    <t xml:space="preserve">⚠ Gap = LKR 309,523. ~LKR 309k of spend existed before Feb 2026 (pre-tracking opening balance not captured)</t>
  </si>
  <si>
    <t xml:space="preserve">Sampath Credit Card</t>
  </si>
  <si>
    <t xml:space="preserve">⚠ Gap = LKR 88,790. Pre-Feb opening balance + possible untracked Jan expenses</t>
  </si>
  <si>
    <t xml:space="preserve">NDB Card</t>
  </si>
  <si>
    <t xml:space="preserve">⚠ Payments (80k) &gt; tracked spend (26k) yet balance is 124k. Large pre-tracking balance likely; Nov-Jan spending not fully captured</t>
  </si>
  <si>
    <t xml:space="preserve">NTB AMEX</t>
  </si>
  <si>
    <t xml:space="preserve">⚠ Payments (80k) &gt; tracked spend (48k) yet balance 169k. Confirms significant pre-Feb spending not in DB</t>
  </si>
  <si>
    <t xml:space="preserve">TOTALS</t>
  </si>
  <si>
    <t xml:space="preserve">Total gap vs expected: ~LKR 700k of pre-tracking balances missing</t>
  </si>
  <si>
    <t xml:space="preserve">NOTE: 'Payments Made' figures include duplicate debt_payment entries. True unique payments: BOC=760k (no dups), NDB=40k (3 dups), Sampath=45k (3 dups), NTB AMEX=40k (2 dups). Corrected totals: NDB=40k, Sampath=45k, NTB AMEX=40k.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</si>
</sst>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@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BF8F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BF8F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BF8F00"/>
        <bgColor rgb="FF808000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0"/>
    <col collapsed="false" customWidth="true" hidden="false" outlineLevel="0" max="4" min="4" style="0" width="4"/>
    <col collapsed="false" customWidth="true" hidden="false" outlineLevel="0" max="5" min="5" style="0" width="36"/>
    <col collapsed="false" customWidth="true" hidden="false" outlineLevel="0" max="7" min="6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4"/>
      <c r="E3" s="5" t="s">
        <v>5</v>
      </c>
      <c r="F3" s="5" t="s">
        <v>3</v>
      </c>
      <c r="G3" s="5" t="s">
        <v>4</v>
      </c>
    </row>
    <row r="4" customFormat="false" ht="15" hidden="false" customHeight="false" outlineLevel="0" collapsed="false">
      <c r="A4" s="6" t="s">
        <v>6</v>
      </c>
      <c r="B4" s="7"/>
      <c r="C4" s="7"/>
      <c r="D4" s="4"/>
      <c r="E4" s="8" t="s">
        <v>7</v>
      </c>
      <c r="F4" s="9"/>
      <c r="G4" s="9"/>
    </row>
    <row r="5" customFormat="false" ht="15" hidden="false" customHeight="false" outlineLevel="0" collapsed="false">
      <c r="A5" s="10" t="s">
        <v>8</v>
      </c>
      <c r="B5" s="11" t="n">
        <v>152639</v>
      </c>
      <c r="C5" s="11" t="n">
        <v>152639</v>
      </c>
      <c r="D5" s="12"/>
      <c r="E5" s="10" t="s">
        <v>9</v>
      </c>
      <c r="F5" s="13" t="n">
        <v>460344.8</v>
      </c>
      <c r="G5" s="13" t="n">
        <v>460344.8</v>
      </c>
    </row>
    <row r="6" customFormat="false" ht="15" hidden="false" customHeight="false" outlineLevel="0" collapsed="false">
      <c r="A6" s="10" t="s">
        <v>10</v>
      </c>
      <c r="B6" s="11" t="n">
        <v>420000</v>
      </c>
      <c r="C6" s="11" t="n">
        <v>420000</v>
      </c>
      <c r="D6" s="12"/>
      <c r="E6" s="10" t="s">
        <v>11</v>
      </c>
      <c r="F6" s="13" t="n">
        <v>252915.22</v>
      </c>
      <c r="G6" s="13" t="n">
        <v>252915.22</v>
      </c>
    </row>
    <row r="7" customFormat="false" ht="15" hidden="false" customHeight="false" outlineLevel="0" collapsed="false">
      <c r="A7" s="10" t="s">
        <v>12</v>
      </c>
      <c r="B7" s="11" t="n">
        <v>340000</v>
      </c>
      <c r="C7" s="11" t="n">
        <v>340000</v>
      </c>
      <c r="D7" s="12"/>
      <c r="E7" s="10" t="s">
        <v>13</v>
      </c>
      <c r="F7" s="13" t="n">
        <v>124009.95</v>
      </c>
      <c r="G7" s="13" t="n">
        <v>124009.95</v>
      </c>
    </row>
    <row r="8" customFormat="false" ht="15" hidden="false" customHeight="false" outlineLevel="0" collapsed="false">
      <c r="A8" s="10" t="s">
        <v>14</v>
      </c>
      <c r="B8" s="11" t="n">
        <v>800000</v>
      </c>
      <c r="C8" s="11" t="n">
        <v>800000</v>
      </c>
      <c r="D8" s="12"/>
      <c r="E8" s="10" t="s">
        <v>15</v>
      </c>
      <c r="F8" s="13" t="n">
        <v>169554.49</v>
      </c>
      <c r="G8" s="13" t="n">
        <v>169554.49</v>
      </c>
    </row>
    <row r="9" customFormat="false" ht="15" hidden="false" customHeight="false" outlineLevel="0" collapsed="false">
      <c r="A9" s="10" t="s">
        <v>16</v>
      </c>
      <c r="B9" s="11" t="n">
        <v>150000</v>
      </c>
      <c r="C9" s="11" t="n">
        <v>150000</v>
      </c>
      <c r="D9" s="12"/>
      <c r="E9" s="4"/>
      <c r="F9" s="4"/>
      <c r="G9" s="4"/>
    </row>
    <row r="10" customFormat="false" ht="15" hidden="false" customHeight="false" outlineLevel="0" collapsed="false">
      <c r="A10" s="6" t="s">
        <v>17</v>
      </c>
      <c r="B10" s="14" t="n">
        <f aca="false">SUM(B5:B9)</f>
        <v>1862639</v>
      </c>
      <c r="C10" s="14" t="n">
        <f aca="false">SUM(C5:C9)</f>
        <v>1862639</v>
      </c>
      <c r="D10" s="12"/>
      <c r="E10" s="8" t="s">
        <v>18</v>
      </c>
      <c r="F10" s="15" t="n">
        <f aca="false">SUM(F5:F8)</f>
        <v>1006824.46</v>
      </c>
      <c r="G10" s="15" t="n">
        <f aca="false">SUM(G5:G8)</f>
        <v>1006824.46</v>
      </c>
    </row>
    <row r="12" customFormat="false" ht="19.5" hidden="false" customHeight="true" outlineLevel="0" collapsed="false">
      <c r="A12" s="16" t="s">
        <v>19</v>
      </c>
      <c r="B12" s="17" t="n">
        <f aca="false">B10-F10</f>
        <v>855814.54</v>
      </c>
      <c r="C12" s="17" t="n">
        <f aca="false">C10-G10</f>
        <v>855814.54</v>
      </c>
      <c r="D12" s="4"/>
      <c r="E12" s="18" t="s">
        <v>20</v>
      </c>
      <c r="F12" s="18"/>
      <c r="G12" s="18"/>
    </row>
    <row r="14" customFormat="false" ht="15" hidden="false" customHeight="true" outlineLevel="0" collapsed="false">
      <c r="A14" s="19" t="s">
        <v>21</v>
      </c>
      <c r="B14" s="19"/>
      <c r="C14" s="19"/>
      <c r="D14" s="4"/>
    </row>
    <row r="15" customFormat="false" ht="15" hidden="false" customHeight="false" outlineLevel="0" collapsed="false">
      <c r="A15" s="20" t="s">
        <v>22</v>
      </c>
      <c r="B15" s="20" t="s">
        <v>23</v>
      </c>
      <c r="C15" s="20" t="s">
        <v>24</v>
      </c>
      <c r="D15" s="4"/>
    </row>
    <row r="16" customFormat="false" ht="15" hidden="false" customHeight="false" outlineLevel="0" collapsed="false">
      <c r="A16" s="10" t="s">
        <v>9</v>
      </c>
      <c r="B16" s="13" t="n">
        <v>460344.8</v>
      </c>
      <c r="C16" s="11" t="n">
        <v>750000</v>
      </c>
      <c r="D16" s="4"/>
    </row>
    <row r="17" customFormat="false" ht="15" hidden="false" customHeight="false" outlineLevel="0" collapsed="false">
      <c r="A17" s="10" t="s">
        <v>11</v>
      </c>
      <c r="B17" s="13" t="n">
        <v>252915.22</v>
      </c>
      <c r="C17" s="11" t="n">
        <v>650000</v>
      </c>
      <c r="D17" s="4"/>
    </row>
    <row r="18" customFormat="false" ht="15" hidden="false" customHeight="false" outlineLevel="0" collapsed="false">
      <c r="A18" s="10" t="s">
        <v>13</v>
      </c>
      <c r="B18" s="13" t="n">
        <v>124009.95</v>
      </c>
      <c r="C18" s="11" t="n">
        <v>400000</v>
      </c>
      <c r="D18" s="4"/>
    </row>
    <row r="19" customFormat="false" ht="15" hidden="false" customHeight="false" outlineLevel="0" collapsed="false">
      <c r="A19" s="10" t="s">
        <v>15</v>
      </c>
      <c r="B19" s="13" t="n">
        <v>169554.49</v>
      </c>
      <c r="C19" s="11" t="n">
        <v>250000</v>
      </c>
      <c r="D19" s="4"/>
    </row>
    <row r="20" customFormat="false" ht="15" hidden="false" customHeight="false" outlineLevel="0" collapsed="false">
      <c r="A20" s="21" t="s">
        <v>25</v>
      </c>
      <c r="B20" s="15" t="n">
        <f aca="false">SUM(B13:B16)</f>
        <v>460344.8</v>
      </c>
      <c r="C20" s="22" t="n">
        <f aca="false">SUM(C13:C16)</f>
        <v>750000</v>
      </c>
      <c r="D20" s="4"/>
    </row>
    <row r="22" customFormat="false" ht="15" hidden="false" customHeight="true" outlineLevel="0" collapsed="false">
      <c r="A22" s="19" t="s">
        <v>26</v>
      </c>
      <c r="B22" s="19"/>
      <c r="C22" s="19"/>
      <c r="D22" s="4"/>
    </row>
    <row r="23" customFormat="false" ht="15" hidden="false" customHeight="false" outlineLevel="0" collapsed="false">
      <c r="A23" s="20" t="s">
        <v>22</v>
      </c>
      <c r="B23" s="20" t="s">
        <v>27</v>
      </c>
      <c r="C23" s="20" t="s">
        <v>28</v>
      </c>
      <c r="D23" s="4"/>
    </row>
    <row r="24" customFormat="false" ht="15" hidden="false" customHeight="false" outlineLevel="0" collapsed="false">
      <c r="A24" s="10" t="s">
        <v>9</v>
      </c>
      <c r="B24" s="23" t="n">
        <v>23017.24</v>
      </c>
      <c r="C24" s="24" t="s">
        <v>29</v>
      </c>
      <c r="D24" s="4"/>
    </row>
    <row r="25" customFormat="false" ht="15" hidden="false" customHeight="false" outlineLevel="0" collapsed="false">
      <c r="A25" s="10" t="s">
        <v>11</v>
      </c>
      <c r="B25" s="23" t="n">
        <v>8852.03</v>
      </c>
      <c r="C25" s="24" t="s">
        <v>30</v>
      </c>
      <c r="D25" s="4"/>
    </row>
    <row r="26" customFormat="false" ht="15" hidden="false" customHeight="false" outlineLevel="0" collapsed="false">
      <c r="A26" s="10" t="s">
        <v>13</v>
      </c>
      <c r="B26" s="23" t="n">
        <v>4960</v>
      </c>
      <c r="C26" s="24" t="s">
        <v>30</v>
      </c>
      <c r="D26" s="4"/>
    </row>
    <row r="27" customFormat="false" ht="15" hidden="false" customHeight="false" outlineLevel="0" collapsed="false">
      <c r="A27" s="10" t="s">
        <v>15</v>
      </c>
      <c r="B27" s="23" t="n">
        <v>5000</v>
      </c>
      <c r="C27" s="24" t="s">
        <v>29</v>
      </c>
      <c r="D27" s="4"/>
    </row>
    <row r="28" customFormat="false" ht="15" hidden="false" customHeight="false" outlineLevel="0" collapsed="false">
      <c r="A28" s="21" t="s">
        <v>31</v>
      </c>
      <c r="B28" s="25" t="n">
        <f aca="false">SUM(B21:B24)</f>
        <v>23017.24</v>
      </c>
      <c r="C28" s="26"/>
      <c r="D28" s="4"/>
    </row>
  </sheetData>
  <mergeCells count="5">
    <mergeCell ref="A1:G1"/>
    <mergeCell ref="A2:G2"/>
    <mergeCell ref="E12:G12"/>
    <mergeCell ref="A14:C14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0"/>
    <col collapsed="false" customWidth="true" hidden="false" outlineLevel="0" max="4" min="4" style="0" width="35"/>
  </cols>
  <sheetData>
    <row r="1" customFormat="false" ht="25.5" hidden="false" customHeight="true" outlineLevel="0" collapsed="false">
      <c r="A1" s="27" t="s">
        <v>32</v>
      </c>
      <c r="B1" s="27"/>
      <c r="C1" s="27"/>
      <c r="D1" s="27"/>
    </row>
    <row r="2" customFormat="false" ht="19.5" hidden="false" customHeight="true" outlineLevel="0" collapsed="false">
      <c r="A2" s="6" t="s">
        <v>33</v>
      </c>
      <c r="B2" s="3" t="s">
        <v>3</v>
      </c>
      <c r="C2" s="3" t="s">
        <v>4</v>
      </c>
      <c r="D2" s="6" t="s">
        <v>34</v>
      </c>
    </row>
    <row r="3" customFormat="false" ht="15" hidden="false" customHeight="false" outlineLevel="0" collapsed="false">
      <c r="A3" s="6" t="s">
        <v>35</v>
      </c>
      <c r="B3" s="28"/>
      <c r="C3" s="28"/>
      <c r="D3" s="28"/>
    </row>
    <row r="4" customFormat="false" ht="15" hidden="false" customHeight="false" outlineLevel="0" collapsed="false">
      <c r="A4" s="10" t="s">
        <v>36</v>
      </c>
      <c r="B4" s="29" t="n">
        <v>1627562.73</v>
      </c>
      <c r="C4" s="29" t="n">
        <v>852557.73</v>
      </c>
      <c r="D4" s="30" t="s">
        <v>37</v>
      </c>
    </row>
    <row r="5" customFormat="false" ht="15" hidden="false" customHeight="false" outlineLevel="0" collapsed="false">
      <c r="A5" s="10" t="s">
        <v>38</v>
      </c>
      <c r="B5" s="31" t="n">
        <v>50000</v>
      </c>
      <c r="C5" s="31" t="n">
        <v>50000</v>
      </c>
      <c r="D5" s="30"/>
    </row>
    <row r="6" customFormat="false" ht="15" hidden="false" customHeight="false" outlineLevel="0" collapsed="false">
      <c r="A6" s="10" t="s">
        <v>39</v>
      </c>
      <c r="B6" s="31" t="n">
        <v>490000</v>
      </c>
      <c r="C6" s="31" t="n">
        <v>490000</v>
      </c>
      <c r="D6" s="30" t="s">
        <v>40</v>
      </c>
    </row>
    <row r="7" customFormat="false" ht="15" hidden="false" customHeight="false" outlineLevel="0" collapsed="false">
      <c r="A7" s="10" t="s">
        <v>41</v>
      </c>
      <c r="B7" s="31" t="n">
        <v>400000</v>
      </c>
      <c r="C7" s="31" t="n">
        <v>400000</v>
      </c>
      <c r="D7" s="30" t="s">
        <v>42</v>
      </c>
    </row>
    <row r="8" customFormat="false" ht="15" hidden="false" customHeight="false" outlineLevel="0" collapsed="false">
      <c r="A8" s="10" t="s">
        <v>43</v>
      </c>
      <c r="B8" s="31" t="n">
        <v>200000</v>
      </c>
      <c r="C8" s="31" t="n">
        <v>200000</v>
      </c>
      <c r="D8" s="30" t="s">
        <v>42</v>
      </c>
    </row>
    <row r="9" customFormat="false" ht="18" hidden="false" customHeight="true" outlineLevel="0" collapsed="false">
      <c r="A9" s="21" t="s">
        <v>44</v>
      </c>
      <c r="B9" s="14" t="n">
        <v>2254557.73</v>
      </c>
      <c r="C9" s="32" t="n">
        <v>1992557.73</v>
      </c>
      <c r="D9" s="30" t="s">
        <v>45</v>
      </c>
    </row>
    <row r="10" customFormat="false" ht="18" hidden="false" customHeight="true" outlineLevel="0" collapsed="false">
      <c r="A10" s="6" t="s">
        <v>46</v>
      </c>
      <c r="B10" s="14" t="n">
        <v>1654557.73</v>
      </c>
      <c r="C10" s="33" t="n">
        <v>1392557.73</v>
      </c>
      <c r="D10" s="30" t="s">
        <v>47</v>
      </c>
    </row>
    <row r="12" customFormat="false" ht="15" hidden="false" customHeight="false" outlineLevel="0" collapsed="false">
      <c r="A12" s="6" t="s">
        <v>48</v>
      </c>
      <c r="B12" s="28"/>
      <c r="C12" s="28"/>
      <c r="D12" s="28"/>
    </row>
    <row r="13" customFormat="false" ht="15" hidden="false" customHeight="false" outlineLevel="0" collapsed="false">
      <c r="A13" s="10" t="s">
        <v>49</v>
      </c>
      <c r="B13" s="31" t="n">
        <v>1514728.58</v>
      </c>
      <c r="C13" s="31" t="n">
        <v>1514728.58</v>
      </c>
      <c r="D13" s="30" t="s">
        <v>50</v>
      </c>
    </row>
    <row r="14" customFormat="false" ht="15" hidden="false" customHeight="false" outlineLevel="0" collapsed="false">
      <c r="A14" s="10" t="s">
        <v>51</v>
      </c>
      <c r="B14" s="29" t="n">
        <v>2021725</v>
      </c>
      <c r="C14" s="29" t="n">
        <v>1325500</v>
      </c>
      <c r="D14" s="30" t="s">
        <v>52</v>
      </c>
    </row>
    <row r="15" customFormat="false" ht="15" hidden="false" customHeight="false" outlineLevel="0" collapsed="false">
      <c r="A15" s="10" t="s">
        <v>53</v>
      </c>
      <c r="B15" s="29" t="n">
        <v>660000</v>
      </c>
      <c r="C15" s="29" t="n">
        <v>535000</v>
      </c>
      <c r="D15" s="30" t="s">
        <v>54</v>
      </c>
    </row>
    <row r="16" customFormat="false" ht="18" hidden="false" customHeight="true" outlineLevel="0" collapsed="false">
      <c r="A16" s="21" t="s">
        <v>55</v>
      </c>
      <c r="B16" s="15" t="n">
        <v>4196453.58</v>
      </c>
      <c r="C16" s="34" t="n">
        <v>3375228.58</v>
      </c>
      <c r="D16" s="30" t="s">
        <v>56</v>
      </c>
    </row>
    <row r="18" customFormat="false" ht="18" hidden="false" customHeight="true" outlineLevel="0" collapsed="false">
      <c r="A18" s="21" t="s">
        <v>57</v>
      </c>
      <c r="B18" s="14" t="n">
        <v>139829.15</v>
      </c>
      <c r="C18" s="33" t="n">
        <v>-122170.85</v>
      </c>
      <c r="D18" s="30" t="s">
        <v>58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5" min="3" style="0" width="22"/>
    <col collapsed="false" customWidth="true" hidden="false" outlineLevel="0" max="6" min="6" style="0" width="38"/>
  </cols>
  <sheetData>
    <row r="1" customFormat="false" ht="27.75" hidden="false" customHeight="true" outlineLevel="0" collapsed="false">
      <c r="A1" s="35" t="s">
        <v>59</v>
      </c>
      <c r="B1" s="35"/>
      <c r="C1" s="35"/>
      <c r="D1" s="35"/>
      <c r="E1" s="35"/>
      <c r="F1" s="35"/>
    </row>
    <row r="2" customFormat="false" ht="15.75" hidden="false" customHeight="true" outlineLevel="0" collapsed="false">
      <c r="A2" s="2" t="s">
        <v>60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6" t="s">
        <v>61</v>
      </c>
      <c r="B3" s="21" t="s">
        <v>62</v>
      </c>
      <c r="C3" s="36" t="s">
        <v>63</v>
      </c>
      <c r="D3" s="36" t="s">
        <v>64</v>
      </c>
      <c r="E3" s="36" t="s">
        <v>65</v>
      </c>
      <c r="F3" s="21" t="s">
        <v>66</v>
      </c>
    </row>
    <row r="4" customFormat="false" ht="42" hidden="false" customHeight="true" outlineLevel="0" collapsed="false">
      <c r="A4" s="37" t="s">
        <v>67</v>
      </c>
      <c r="B4" s="38" t="s">
        <v>68</v>
      </c>
      <c r="C4" s="39" t="n">
        <v>2847811.03</v>
      </c>
      <c r="D4" s="40" t="n">
        <v>1654557.73</v>
      </c>
      <c r="E4" s="25" t="n">
        <v>1193253.3</v>
      </c>
      <c r="F4" s="41" t="s">
        <v>69</v>
      </c>
    </row>
    <row r="5" customFormat="false" ht="42" hidden="false" customHeight="true" outlineLevel="0" collapsed="false">
      <c r="A5" s="37" t="s">
        <v>70</v>
      </c>
      <c r="B5" s="38" t="s">
        <v>71</v>
      </c>
      <c r="C5" s="39" t="n">
        <v>2021725</v>
      </c>
      <c r="D5" s="40" t="n">
        <v>1325500</v>
      </c>
      <c r="E5" s="25" t="n">
        <v>696225</v>
      </c>
      <c r="F5" s="41" t="s">
        <v>72</v>
      </c>
    </row>
    <row r="6" customFormat="false" ht="42" hidden="false" customHeight="true" outlineLevel="0" collapsed="false">
      <c r="A6" s="42" t="s">
        <v>73</v>
      </c>
      <c r="B6" s="43" t="s">
        <v>74</v>
      </c>
      <c r="C6" s="44" t="n">
        <v>150821.83</v>
      </c>
      <c r="D6" s="45" t="n">
        <v>460344.8</v>
      </c>
      <c r="E6" s="46" t="n">
        <v>309522.97</v>
      </c>
      <c r="F6" s="47" t="s">
        <v>75</v>
      </c>
    </row>
    <row r="7" customFormat="false" ht="42" hidden="false" customHeight="true" outlineLevel="0" collapsed="false">
      <c r="A7" s="42" t="s">
        <v>76</v>
      </c>
      <c r="B7" s="43" t="s">
        <v>77</v>
      </c>
      <c r="C7" s="44" t="n">
        <v>1010175</v>
      </c>
      <c r="D7" s="45" t="n">
        <v>885175</v>
      </c>
      <c r="E7" s="46" t="n">
        <v>125000</v>
      </c>
      <c r="F7" s="47" t="s">
        <v>78</v>
      </c>
    </row>
    <row r="8" customFormat="false" ht="42" hidden="false" customHeight="true" outlineLevel="0" collapsed="false">
      <c r="A8" s="42" t="s">
        <v>79</v>
      </c>
      <c r="B8" s="43" t="s">
        <v>80</v>
      </c>
      <c r="C8" s="44" t="n">
        <v>185966.47</v>
      </c>
      <c r="D8" s="48" t="n">
        <v>0</v>
      </c>
      <c r="E8" s="46" t="n">
        <v>185966.47</v>
      </c>
      <c r="F8" s="47" t="s">
        <v>81</v>
      </c>
    </row>
    <row r="9" customFormat="false" ht="42" hidden="false" customHeight="true" outlineLevel="0" collapsed="false">
      <c r="A9" s="42" t="s">
        <v>82</v>
      </c>
      <c r="B9" s="43" t="s">
        <v>83</v>
      </c>
      <c r="C9" s="44" t="n">
        <v>270770.33</v>
      </c>
      <c r="D9" s="48" t="n">
        <v>0</v>
      </c>
      <c r="E9" s="46" t="n">
        <v>270770.33</v>
      </c>
      <c r="F9" s="47" t="s">
        <v>84</v>
      </c>
    </row>
    <row r="10" customFormat="false" ht="42" hidden="false" customHeight="true" outlineLevel="0" collapsed="false">
      <c r="A10" s="49" t="s">
        <v>85</v>
      </c>
      <c r="B10" s="50" t="s">
        <v>86</v>
      </c>
      <c r="C10" s="51"/>
      <c r="D10" s="52"/>
      <c r="E10" s="53"/>
      <c r="F10" s="54" t="s">
        <v>87</v>
      </c>
    </row>
    <row r="11" customFormat="false" ht="42" hidden="false" customHeight="true" outlineLevel="0" collapsed="false">
      <c r="A11" s="49" t="s">
        <v>88</v>
      </c>
      <c r="B11" s="50" t="s">
        <v>89</v>
      </c>
      <c r="C11" s="51"/>
      <c r="D11" s="52"/>
      <c r="E11" s="53"/>
      <c r="F11" s="54" t="s">
        <v>90</v>
      </c>
    </row>
    <row r="12" customFormat="false" ht="42" hidden="false" customHeight="true" outlineLevel="0" collapsed="false">
      <c r="A12" s="49" t="s">
        <v>91</v>
      </c>
      <c r="B12" s="50" t="s">
        <v>92</v>
      </c>
      <c r="C12" s="51"/>
      <c r="D12" s="52"/>
      <c r="E12" s="53"/>
      <c r="F12" s="54" t="s">
        <v>93</v>
      </c>
    </row>
    <row r="13" customFormat="false" ht="42" hidden="false" customHeight="true" outlineLevel="0" collapsed="false">
      <c r="A13" s="49" t="s">
        <v>94</v>
      </c>
      <c r="B13" s="50" t="s">
        <v>95</v>
      </c>
      <c r="C13" s="55" t="n">
        <v>290000</v>
      </c>
      <c r="D13" s="52" t="n">
        <v>0</v>
      </c>
      <c r="E13" s="56" t="n">
        <v>290000</v>
      </c>
      <c r="F13" s="54" t="s">
        <v>96</v>
      </c>
    </row>
    <row r="14" customFormat="false" ht="21.75" hidden="false" customHeight="true" outlineLevel="0" collapsed="false">
      <c r="A14" s="57" t="s">
        <v>97</v>
      </c>
      <c r="B14" s="57"/>
      <c r="C14" s="58" t="n">
        <v>2324001.27</v>
      </c>
      <c r="D14" s="59" t="s">
        <v>98</v>
      </c>
      <c r="E14" s="59"/>
      <c r="F14" s="59"/>
    </row>
  </sheetData>
  <mergeCells count="4">
    <mergeCell ref="A1:F1"/>
    <mergeCell ref="A2:F2"/>
    <mergeCell ref="A14:B14"/>
    <mergeCell ref="D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  <col collapsed="false" customWidth="true" hidden="false" outlineLevel="0" max="5" min="5" style="0" width="22"/>
    <col collapsed="false" customWidth="true" hidden="false" outlineLevel="0" max="6" min="6" style="0" width="32"/>
  </cols>
  <sheetData>
    <row r="1" customFormat="false" ht="25.5" hidden="false" customHeight="true" outlineLevel="0" collapsed="false">
      <c r="A1" s="27" t="s">
        <v>99</v>
      </c>
      <c r="B1" s="27"/>
      <c r="C1" s="27"/>
      <c r="D1" s="27"/>
      <c r="E1" s="27"/>
      <c r="F1" s="27"/>
    </row>
    <row r="2" customFormat="false" ht="19.5" hidden="false" customHeight="true" outlineLevel="0" collapsed="false">
      <c r="A2" s="6" t="s">
        <v>22</v>
      </c>
      <c r="B2" s="3" t="s">
        <v>100</v>
      </c>
      <c r="C2" s="3" t="s">
        <v>101</v>
      </c>
      <c r="D2" s="3" t="s">
        <v>102</v>
      </c>
      <c r="E2" s="3" t="s">
        <v>103</v>
      </c>
      <c r="F2" s="6" t="s">
        <v>104</v>
      </c>
    </row>
    <row r="3" customFormat="false" ht="37.5" hidden="false" customHeight="true" outlineLevel="0" collapsed="false">
      <c r="A3" s="60" t="s">
        <v>105</v>
      </c>
      <c r="B3" s="13" t="n">
        <v>910996.83</v>
      </c>
      <c r="C3" s="61" t="n">
        <v>760175</v>
      </c>
      <c r="D3" s="62" t="n">
        <v>150821.83</v>
      </c>
      <c r="E3" s="63" t="n">
        <v>460344.8</v>
      </c>
      <c r="F3" s="64" t="s">
        <v>106</v>
      </c>
    </row>
    <row r="4" customFormat="false" ht="37.5" hidden="false" customHeight="true" outlineLevel="0" collapsed="false">
      <c r="A4" s="60" t="s">
        <v>107</v>
      </c>
      <c r="B4" s="13" t="n">
        <v>269705.66</v>
      </c>
      <c r="C4" s="61" t="n">
        <v>90000</v>
      </c>
      <c r="D4" s="62" t="n">
        <v>179705.66</v>
      </c>
      <c r="E4" s="63" t="n">
        <v>252915.22</v>
      </c>
      <c r="F4" s="64" t="s">
        <v>108</v>
      </c>
    </row>
    <row r="5" customFormat="false" ht="37.5" hidden="false" customHeight="true" outlineLevel="0" collapsed="false">
      <c r="A5" s="60" t="s">
        <v>109</v>
      </c>
      <c r="B5" s="13" t="n">
        <v>26324.19</v>
      </c>
      <c r="C5" s="61" t="n">
        <v>80000</v>
      </c>
      <c r="D5" s="31" t="n">
        <v>-53675.81</v>
      </c>
      <c r="E5" s="63" t="n">
        <v>124009.95</v>
      </c>
      <c r="F5" s="64" t="s">
        <v>110</v>
      </c>
    </row>
    <row r="6" customFormat="false" ht="37.5" hidden="false" customHeight="true" outlineLevel="0" collapsed="false">
      <c r="A6" s="60" t="s">
        <v>111</v>
      </c>
      <c r="B6" s="13" t="n">
        <v>48540.58</v>
      </c>
      <c r="C6" s="61" t="n">
        <v>80000</v>
      </c>
      <c r="D6" s="31" t="n">
        <v>-31459.42</v>
      </c>
      <c r="E6" s="63" t="n">
        <v>169554.49</v>
      </c>
      <c r="F6" s="64" t="s">
        <v>112</v>
      </c>
    </row>
    <row r="7" customFormat="false" ht="21.75" hidden="false" customHeight="true" outlineLevel="0" collapsed="false">
      <c r="A7" s="65" t="s">
        <v>113</v>
      </c>
      <c r="B7" s="66" t="n">
        <f aca="false">SUM(B3:B6)</f>
        <v>1255567.26</v>
      </c>
      <c r="C7" s="66" t="n">
        <f aca="false">SUM(C3:C6)</f>
        <v>1010175</v>
      </c>
      <c r="D7" s="66" t="n">
        <f aca="false">SUM(D3:D6)</f>
        <v>245392.26</v>
      </c>
      <c r="E7" s="66" t="n">
        <f aca="false">SUM(E3:E6)</f>
        <v>1006824.46</v>
      </c>
      <c r="F7" s="67" t="s">
        <v>114</v>
      </c>
    </row>
    <row r="9" customFormat="false" ht="36" hidden="false" customHeight="true" outlineLevel="0" collapsed="false">
      <c r="A9" s="68" t="s">
        <v>115</v>
      </c>
      <c r="B9" s="68"/>
      <c r="C9" s="68"/>
      <c r="D9" s="68"/>
      <c r="E9" s="68"/>
      <c r="F9" s="68"/>
    </row>
  </sheetData>
  <mergeCells count="2">
    <mergeCell ref="A1:F1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2026-04-18T04:05:31Z</dcterms:created>
  <dc:creator>openpyxl</dc:creator>
  <dc:description/>
  <dc:language>en-US</dc:language>
  <cp:lastModifiedBy/>
  <dcterms:modified xsi:type="dcterms:W3CDTF">2026-04-18T04:05:31Z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